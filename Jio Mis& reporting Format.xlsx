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c38de94cef0c330/Desktop/"/>
    </mc:Choice>
  </mc:AlternateContent>
  <xr:revisionPtr revIDLastSave="2" documentId="8_{F6680ABB-04D3-4DB9-9CB6-733FF6491857}" xr6:coauthVersionLast="47" xr6:coauthVersionMax="47" xr10:uidLastSave="{B0BBB3FE-CB3C-4C4C-B468-888418EDEB1B}"/>
  <bookViews>
    <workbookView xWindow="-110" yWindow="-110" windowWidth="19420" windowHeight="10420" xr2:uid="{00000000-000D-0000-FFFF-FFFF00000000}"/>
  </bookViews>
  <sheets>
    <sheet name="MIS Tracker" sheetId="1" r:id="rId1"/>
    <sheet name="Report" sheetId="2" r:id="rId2"/>
  </sheets>
  <definedNames>
    <definedName name="_xlnm._FilterDatabase" localSheetId="0" hidden="1">'MIS Tracker'!$A$1:$BH$3</definedName>
  </definedNames>
  <calcPr calcId="191029"/>
</workbook>
</file>

<file path=xl/calcChain.xml><?xml version="1.0" encoding="utf-8"?>
<calcChain xmlns="http://schemas.openxmlformats.org/spreadsheetml/2006/main">
  <c r="Z3" i="1" l="1"/>
  <c r="Z2" i="1"/>
  <c r="Y3" i="1"/>
  <c r="L3" i="1"/>
  <c r="L2" i="1" l="1"/>
  <c r="B57" i="2" l="1"/>
  <c r="B53" i="2"/>
  <c r="B48" i="2"/>
  <c r="B50" i="2"/>
  <c r="B51" i="2"/>
  <c r="B59" i="2"/>
  <c r="B58" i="2"/>
  <c r="B52" i="2"/>
  <c r="B35" i="2"/>
  <c r="B44" i="2"/>
  <c r="B41" i="2"/>
  <c r="B40" i="2"/>
  <c r="B39" i="2"/>
  <c r="B38" i="2"/>
  <c r="B37" i="2"/>
  <c r="B36" i="2"/>
  <c r="B34" i="2"/>
  <c r="B33" i="2"/>
  <c r="B3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5" i="2"/>
  <c r="B10" i="2"/>
  <c r="B9" i="2"/>
  <c r="B8" i="2"/>
  <c r="B6" i="2"/>
  <c r="B5" i="2"/>
  <c r="B4" i="2"/>
  <c r="B3" i="2"/>
  <c r="B2" i="2"/>
  <c r="Y2" i="1"/>
  <c r="B60" i="2" l="1"/>
</calcChain>
</file>

<file path=xl/sharedStrings.xml><?xml version="1.0" encoding="utf-8"?>
<sst xmlns="http://schemas.openxmlformats.org/spreadsheetml/2006/main" count="222" uniqueCount="113">
  <si>
    <t>Sr No.</t>
  </si>
  <si>
    <t>User Name</t>
  </si>
  <si>
    <t>App ID</t>
  </si>
  <si>
    <t>Customer Name</t>
  </si>
  <si>
    <t>Location</t>
  </si>
  <si>
    <t>Product</t>
  </si>
  <si>
    <t>RCU Agency Name</t>
  </si>
  <si>
    <t>Login Month</t>
  </si>
  <si>
    <t>Received Date</t>
  </si>
  <si>
    <t>RCU Send</t>
  </si>
  <si>
    <t>TAT</t>
  </si>
  <si>
    <t>Report Status</t>
  </si>
  <si>
    <t>Report Comments</t>
  </si>
  <si>
    <t>Extra checks</t>
  </si>
  <si>
    <t>No.of Items (Total)</t>
  </si>
  <si>
    <t>RCU / CPV Template: Jio Credit Ltd.</t>
  </si>
  <si>
    <t>File No / Application No</t>
  </si>
  <si>
    <t>Residence Address with Pincode</t>
  </si>
  <si>
    <t>Office Address with Pincode</t>
  </si>
  <si>
    <t>Mobile No</t>
  </si>
  <si>
    <t>Verification Location</t>
  </si>
  <si>
    <t>Loan amount required</t>
  </si>
  <si>
    <t>Sourcing Channel Name</t>
  </si>
  <si>
    <t>RCU / CPV Checks Required</t>
  </si>
  <si>
    <t xml:space="preserve">Resi Visit </t>
  </si>
  <si>
    <t>Office Visit</t>
  </si>
  <si>
    <t>Resi Office + Office Visit</t>
  </si>
  <si>
    <t>Documents to be sampled</t>
  </si>
  <si>
    <t>Verification Details</t>
  </si>
  <si>
    <t>Residence address verification remarks</t>
  </si>
  <si>
    <t>Residence Type</t>
  </si>
  <si>
    <t>Area :         sq ft</t>
  </si>
  <si>
    <t>Residence Locality</t>
  </si>
  <si>
    <t>Residence Construction</t>
  </si>
  <si>
    <t>Residence Exterior</t>
  </si>
  <si>
    <t>Residence Interior</t>
  </si>
  <si>
    <t>Durables sighted at Residence</t>
  </si>
  <si>
    <t>Vehicles sighted at Residence</t>
  </si>
  <si>
    <t>Income group basis Residence visit</t>
  </si>
  <si>
    <t>Resi Geo-Limit</t>
  </si>
  <si>
    <t>Resi Neighbourhood check</t>
  </si>
  <si>
    <t>Resi ownership status</t>
  </si>
  <si>
    <t>Vintage at same resi address &amp; city</t>
  </si>
  <si>
    <t>Alternate Contact No</t>
  </si>
  <si>
    <t>Negative remarks for customer / customer’s family-member at same resi address</t>
  </si>
  <si>
    <t>Detailed Resi Visit Remarks</t>
  </si>
  <si>
    <t>Office address verification remarks</t>
  </si>
  <si>
    <t>Office Locality type</t>
  </si>
  <si>
    <t>Office Construction</t>
  </si>
  <si>
    <t>Office Exterior</t>
  </si>
  <si>
    <t>Office Interior</t>
  </si>
  <si>
    <t>Nature of job / office work</t>
  </si>
  <si>
    <t>Vintage in same job / office work</t>
  </si>
  <si>
    <t>No of employees sighted</t>
  </si>
  <si>
    <t>Office ownership status</t>
  </si>
  <si>
    <t>Vintage at same office address &amp; city</t>
  </si>
  <si>
    <t>Office Neighbourhood check</t>
  </si>
  <si>
    <t>Office Geo-Limit</t>
  </si>
  <si>
    <t>Negative remarks for customer / customer’s family-member / customer’s business associate at same office address</t>
  </si>
  <si>
    <t>Detailed Office Visit Remarks</t>
  </si>
  <si>
    <t>Document sampling remarks</t>
  </si>
  <si>
    <t>Additional Contact No received</t>
  </si>
  <si>
    <t>Overall RCU / CPV Remarks</t>
  </si>
  <si>
    <t>Case Referred Date</t>
  </si>
  <si>
    <t>Case Closure Date</t>
  </si>
  <si>
    <t>Agency Details</t>
  </si>
  <si>
    <t>Agency Name</t>
  </si>
  <si>
    <t>Seal &amp; Signature of RCU / CPV Agency</t>
  </si>
  <si>
    <t>Photographs</t>
  </si>
  <si>
    <t>Resi Visit</t>
  </si>
  <si>
    <t>Residence Address With PIN Code</t>
  </si>
  <si>
    <t>Office Address With PIN Code</t>
  </si>
  <si>
    <t xml:space="preserve">Alternate Contact No </t>
  </si>
  <si>
    <t>Remark</t>
  </si>
  <si>
    <t>Initiation Document  (Sampled Documents)</t>
  </si>
  <si>
    <t>KPRM Management &amp; Investigation Services</t>
  </si>
  <si>
    <t>Loan Amount applied</t>
  </si>
  <si>
    <t>NA</t>
  </si>
  <si>
    <t xml:space="preserve">NA </t>
  </si>
  <si>
    <t>Durables sighted at Residence- TV / AC / Fridge / Sofa / Music System</t>
  </si>
  <si>
    <t>Staying at same resi address : NA</t>
  </si>
  <si>
    <t>Staying in same city : NA</t>
  </si>
  <si>
    <t>Vintage in same job / office work- Years / Months to be captured</t>
  </si>
  <si>
    <t>Salaried : NA</t>
  </si>
  <si>
    <t>Non-salaried : NA</t>
  </si>
  <si>
    <t>Operating at same office address since : NA</t>
  </si>
  <si>
    <t>Operating in same city :NA</t>
  </si>
  <si>
    <t>Office Geo-Limit (Local / Outstation (If Outstation - Agency to specify distance))</t>
  </si>
  <si>
    <t>Sr. No</t>
  </si>
  <si>
    <t>Krishna Murari</t>
  </si>
  <si>
    <t>Delhi</t>
  </si>
  <si>
    <t>KPRM MANAGEMENT &amp; INVESTIGATION SERVICES PVT LTD</t>
  </si>
  <si>
    <t>Mobile NO</t>
  </si>
  <si>
    <t xml:space="preserve">DB202503135271763 </t>
  </si>
  <si>
    <t>Anuj Bairagee</t>
  </si>
  <si>
    <t xml:space="preserve">LAP </t>
  </si>
  <si>
    <t>HLA202602165167940</t>
  </si>
  <si>
    <t>Shiv Kumar</t>
  </si>
  <si>
    <t>1. Banking 1. PWP</t>
  </si>
  <si>
    <t>Housing Loan</t>
  </si>
  <si>
    <t xml:space="preserve">1. BANKING : (RAVINA) - The given bank statement of STATE BANK OF INDIAN - A/C No. 35774963835 - has been verified from the concerned bank and found that an account holder name is RAVINA, and the given transactions got verified dated on 16/03/2026 - 550/- DR (Closing Balance - 16864), 20/02/2026 - 158/- CR (Closing Balance - 21582), 03/02/2026 - 750,000/- CR (Closing Balance - 771707), which are matching with the bank record and found correct and AOD-17/05/2016. Status - Positive.
2. PAN WITH PHOTO : (RAVINA) - The Given PAN " AWFPR2519A " got checked and found that PAN holder Name- RAVINA and DOB- 24/05/1985 are correct as per the department record. Signature and Photo is also matching. Status – Positive. 
</t>
  </si>
  <si>
    <t>Positive</t>
  </si>
  <si>
    <t xml:space="preserve">1. BANKING - The given bank statement of Bank of India - A/C No. 712410110007261 - has been verified from the concerned bank and found that an account holder name is ANUJ BAIRAGEE, and the given all transactions got verified dated on 05/03/2026 - 30500/- CR (UPI), 03/02/2026 - 30500/- CR (UPI), 02/01/2026 - 90,000/- CR (UPI), which are matching with the bank record and found correct. Status - Positive.
2. BANKING - The given bank statement of HDFC Bank - A/C No. 50100699860467 - has been verified from the concerned bank and found that an account holder name is ANUJ BAIRAGEE, and the given all transactions got verified dated on 05/03/2026 - 30500/- CR (UPI), 03/02/2026 - 30500/- CR (UPI), 02/01/2026 - 90,000/- CR (UPI), which are matching with the bank record and found correct. Status - Positive.
3.  BANKING - The given bank statement of HDFC Bank - A/C No. 50100257872234 - has been verified from the concerned bank and found that an account holder name is ANUJ BAIRAGI, and the given all transactions got verified dated on 30/01/2026 - 33,833/- CR (GENPACT), 31/12/2025 - 31,833/- CR (GENPACT), 27/11/2025 - 48,398/- CR (GENPACT), which are matching with the bank record and found correct. Status - Positive
4. ITR - (ANUJ BAIRAGEE) - We have verified an ITR of ANUJ BAIRAGEE, Pan no. DPIPB1239A, for AY-2024-25 and found that an ITR return has been filed with Ack No. 833609880210724, dated on 21-Jul-2024. Total income amount is Rs. 4,91,770/-. Status – Positive.
5. ITR : (ANUJ BAIRAGEE) - We have verified an ITR of ANUJ BAIRAGEE, Pan no. DPIPB1239A, for AY-2025-26 and found that an ITR return has been filed with Ack No. 203123930260625, dated on  26-Jun-2025. Total income amount is Rs. 5,95,700/-. Status – Positive.
6. 26AS : Anuj Bairagee - DPIPB1239A - 2025-26 - We have checked the 26AS record of ANUJ BAIRAGEE with PAN no. DPIPB1239A for 2025-26 at concerned department and found that employer name SPERIDIAN TECHNOLOGIES PRIVATE LIMITED Total income – 12,82,055/- Tax amount is 1,07,465/- Status – Positive
7. 26AS : ARUN BAIRAGI - DCPPB0708C - 2025-26 - We have checked the 26AS record of ARUN BAIRAGI with PAN no. DCPPB0708C for 2025-26 at concerned department and found that employer name GENPACT INDIA PRIVATE LIMITED Total income – 4,08,335/- Tax amount is 00/- Status – Positive
</t>
  </si>
  <si>
    <t>3. Banking 2. ITR 2. 26AS</t>
  </si>
  <si>
    <t>Total Amount</t>
  </si>
  <si>
    <t>ITR - @ 110</t>
  </si>
  <si>
    <r>
      <t>Form 16 / 26as -</t>
    </r>
    <r>
      <rPr>
        <b/>
        <sz val="12"/>
        <color rgb="FFCC0000"/>
        <rFont val="Calibri"/>
      </rPr>
      <t xml:space="preserve">@ </t>
    </r>
    <r>
      <rPr>
        <b/>
        <sz val="12"/>
        <color theme="1"/>
        <rFont val="Calibri"/>
      </rPr>
      <t xml:space="preserve"> 110</t>
    </r>
  </si>
  <si>
    <r>
      <t xml:space="preserve">Financial - </t>
    </r>
    <r>
      <rPr>
        <b/>
        <sz val="12"/>
        <color rgb="FFCC0000"/>
        <rFont val="Calibri"/>
      </rPr>
      <t xml:space="preserve">@ </t>
    </r>
    <r>
      <rPr>
        <b/>
        <sz val="12"/>
        <color theme="1"/>
        <rFont val="Calibri"/>
      </rPr>
      <t>450</t>
    </r>
  </si>
  <si>
    <t>PAN with Photo / PAN verification  - @ 110</t>
  </si>
  <si>
    <r>
      <t xml:space="preserve">Passport </t>
    </r>
    <r>
      <rPr>
        <b/>
        <sz val="12"/>
        <color rgb="FFCC0000"/>
        <rFont val="Calibri"/>
      </rPr>
      <t>@ 300</t>
    </r>
  </si>
  <si>
    <r>
      <t xml:space="preserve">Bank Statement - </t>
    </r>
    <r>
      <rPr>
        <b/>
        <sz val="12"/>
        <color rgb="FFCC0000"/>
        <rFont val="Calibri"/>
      </rPr>
      <t>@</t>
    </r>
    <r>
      <rPr>
        <b/>
        <sz val="12"/>
        <color theme="1"/>
        <rFont val="Calibri"/>
      </rPr>
      <t xml:space="preserve"> 120</t>
    </r>
  </si>
  <si>
    <r>
      <t xml:space="preserve">GST - </t>
    </r>
    <r>
      <rPr>
        <b/>
        <sz val="12"/>
        <color rgb="FFCC0000"/>
        <rFont val="Calibri"/>
      </rPr>
      <t xml:space="preserve">@ </t>
    </r>
    <r>
      <rPr>
        <b/>
        <sz val="12"/>
        <color theme="1"/>
        <rFont val="Calibri"/>
      </rPr>
      <t>350</t>
    </r>
  </si>
  <si>
    <r>
      <t xml:space="preserve">Others (Noc Builder - Society / Demand Letter / SOA / Profile Check) Delhi &amp; NCR - </t>
    </r>
    <r>
      <rPr>
        <b/>
        <sz val="12"/>
        <color rgb="FFCC0000"/>
        <rFont val="Calibri"/>
      </rPr>
      <t>@ 150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</si>
</sst>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color theme="1"/>
      <name val="Arial"/>
      <scheme val="minor"/>
    </font>
    <font>
      <b/>
      <sz val="12"/>
      <color rgb="FFCC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5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9" borderId="1" xfId="0" applyFill="1" applyBorder="1"/>
    <xf numFmtId="0" fontId="4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1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0" fontId="0" fillId="6" borderId="1" xfId="0" applyFill="1" applyBorder="1"/>
    <xf numFmtId="0" fontId="0" fillId="0" borderId="1" xfId="0" applyBorder="1" applyAlignment="1">
      <alignment horizontal="left" vertical="center"/>
    </xf>
    <xf numFmtId="0" fontId="0" fillId="8" borderId="5" xfId="0" applyFill="1" applyBorder="1"/>
    <xf numFmtId="0" fontId="8" fillId="6" borderId="1" xfId="0" applyFont="1" applyFill="1" applyBorder="1" applyAlignment="1">
      <alignment horizontal="left" vertical="center"/>
    </xf>
    <xf numFmtId="0" fontId="4" fillId="7" borderId="1" xfId="0" applyFont="1" applyFill="1" applyBorder="1"/>
    <xf numFmtId="0" fontId="4" fillId="8" borderId="1" xfId="0" applyFont="1" applyFill="1" applyBorder="1"/>
    <xf numFmtId="0" fontId="2" fillId="0" borderId="1" xfId="0" applyFont="1" applyBorder="1"/>
    <xf numFmtId="0" fontId="10" fillId="0" borderId="1" xfId="0" applyFont="1" applyBorder="1"/>
    <xf numFmtId="17" fontId="2" fillId="0" borderId="1" xfId="0" applyNumberFormat="1" applyFont="1" applyBorder="1"/>
    <xf numFmtId="14" fontId="2" fillId="0" borderId="1" xfId="0" applyNumberFormat="1" applyFont="1" applyBorder="1"/>
    <xf numFmtId="0" fontId="8" fillId="0" borderId="1" xfId="0" applyFont="1" applyBorder="1"/>
    <xf numFmtId="0" fontId="8" fillId="6" borderId="1" xfId="0" applyFont="1" applyFill="1" applyBorder="1"/>
    <xf numFmtId="0" fontId="5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4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1124441</xdr:colOff>
      <xdr:row>62</xdr:row>
      <xdr:rowOff>38101</xdr:rowOff>
    </xdr:from>
    <xdr:to>
      <xdr:col>1</xdr:col>
      <xdr:colOff>2038350</xdr:colOff>
      <xdr:row>62</xdr:row>
      <xdr:rowOff>941187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F715E-AF9E-D59A-AD0B-430E51FE3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841" y="12788901"/>
          <a:ext cx="913909" cy="90308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65</xdr:row>
      <xdr:rowOff>1</xdr:rowOff>
    </xdr:from>
    <xdr:to>
      <xdr:col>1</xdr:col>
      <xdr:colOff>1994808</xdr:colOff>
      <xdr:row>65</xdr:row>
      <xdr:rowOff>1836965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9E7E03-D517-42CE-B3C1-CEC1779BE678}"/>
            </a:ext>
          </a:extLst>
        </xdr:cNvPr>
        <xdr:cNvSpPr/>
      </xdr:nvSpPr>
      <xdr:spPr>
        <a:xfrm>
          <a:off x="1978479" y="23281822"/>
          <a:ext cx="1975758" cy="183696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2027466</xdr:colOff>
      <xdr:row>65</xdr:row>
      <xdr:rowOff>0</xdr:rowOff>
    </xdr:from>
    <xdr:to>
      <xdr:col>1</xdr:col>
      <xdr:colOff>3984174</xdr:colOff>
      <xdr:row>65</xdr:row>
      <xdr:rowOff>1836964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4DD3C70-646B-416D-846A-9F01722354EE}"/>
            </a:ext>
          </a:extLst>
        </xdr:cNvPr>
        <xdr:cNvSpPr/>
      </xdr:nvSpPr>
      <xdr:spPr>
        <a:xfrm>
          <a:off x="3986895" y="23281821"/>
          <a:ext cx="1956708" cy="183696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13607</xdr:colOff>
      <xdr:row>65</xdr:row>
      <xdr:rowOff>1864180</xdr:rowOff>
    </xdr:from>
    <xdr:to>
      <xdr:col>1</xdr:col>
      <xdr:colOff>1989365</xdr:colOff>
      <xdr:row>65</xdr:row>
      <xdr:rowOff>3701144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6B61E00-0788-46B7-97A4-18D7FAB6E45E}"/>
            </a:ext>
          </a:extLst>
        </xdr:cNvPr>
        <xdr:cNvSpPr/>
      </xdr:nvSpPr>
      <xdr:spPr>
        <a:xfrm>
          <a:off x="1973036" y="25146001"/>
          <a:ext cx="1975758" cy="183696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2022023</xdr:colOff>
      <xdr:row>65</xdr:row>
      <xdr:rowOff>1864179</xdr:rowOff>
    </xdr:from>
    <xdr:to>
      <xdr:col>1</xdr:col>
      <xdr:colOff>3978731</xdr:colOff>
      <xdr:row>65</xdr:row>
      <xdr:rowOff>3701143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4C7DFC8-1488-4FD2-AFC9-DF4E279690F3}"/>
            </a:ext>
          </a:extLst>
        </xdr:cNvPr>
        <xdr:cNvSpPr/>
      </xdr:nvSpPr>
      <xdr:spPr>
        <a:xfrm>
          <a:off x="3981452" y="25146000"/>
          <a:ext cx="1956708" cy="183696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3"/>
  <sheetViews>
    <sheetView tabSelected="1" topLeftCell="AO1" zoomScale="106" zoomScaleNormal="106" workbookViewId="0">
      <pane ySplit="1" topLeftCell="A2" activePane="bottomLeft" state="frozen"/>
      <selection activeCell="E1" sqref="E1"/>
      <selection pane="bottomLeft" activeCell="AO1" sqref="AO1"/>
    </sheetView>
  </sheetViews>
  <sheetFormatPr defaultColWidth="12.54296875" defaultRowHeight="15.75" customHeight="1" x14ac:dyDescent="0.25"/>
  <cols>
    <col min="1" max="1" width="6.26953125" style="2" bestFit="1" customWidth="1"/>
    <col min="2" max="2" width="11" style="2" bestFit="1" customWidth="1"/>
    <col min="3" max="3" width="20.453125" style="2" bestFit="1" customWidth="1"/>
    <col min="4" max="4" width="15.7265625" style="2" bestFit="1" customWidth="1"/>
    <col min="5" max="5" width="8.54296875" style="2" bestFit="1" customWidth="1"/>
    <col min="6" max="6" width="11.54296875" style="2" bestFit="1" customWidth="1"/>
    <col min="7" max="7" width="32.08984375" style="2" customWidth="1"/>
    <col min="8" max="8" width="17.81640625" style="2" customWidth="1"/>
    <col min="9" max="9" width="12.26953125" style="2" customWidth="1"/>
    <col min="10" max="10" width="13.81640625" style="2" customWidth="1"/>
    <col min="11" max="11" width="13.453125" style="2" customWidth="1"/>
    <col min="12" max="12" width="9.26953125" style="2" customWidth="1"/>
    <col min="13" max="13" width="13.26953125" style="2" customWidth="1"/>
    <col min="14" max="14" width="46.7265625" style="21" customWidth="1"/>
    <col min="15" max="15" width="28.453125" style="2" customWidth="1"/>
    <col min="16" max="16" width="12.1796875" style="2" customWidth="1"/>
    <col min="17" max="17" width="11" style="2" customWidth="1"/>
    <col min="18" max="18" width="16.26953125" style="2" customWidth="1"/>
    <col min="19" max="19" width="22.81640625" style="2" customWidth="1"/>
    <col min="20" max="20" width="32.1796875" style="2" customWidth="1"/>
    <col min="21" max="21" width="22.81640625" style="2" customWidth="1"/>
    <col min="22" max="22" width="21.81640625" style="2" customWidth="1"/>
    <col min="23" max="23" width="11.54296875" style="2" customWidth="1"/>
    <col min="24" max="24" width="30.1796875" style="2" customWidth="1"/>
    <col min="25" max="25" width="18" style="2" bestFit="1" customWidth="1"/>
    <col min="26" max="26" width="18" style="2" customWidth="1"/>
    <col min="27" max="27" width="22.7265625" style="20" bestFit="1" customWidth="1"/>
    <col min="28" max="28" width="32.1796875" style="2" bestFit="1" customWidth="1"/>
    <col min="29" max="29" width="28.1796875" style="2" bestFit="1" customWidth="1"/>
    <col min="30" max="30" width="28.1796875" style="2" customWidth="1"/>
    <col min="31" max="31" width="33.81640625" style="2" bestFit="1" customWidth="1"/>
    <col min="32" max="32" width="13.54296875" style="2" bestFit="1" customWidth="1"/>
    <col min="33" max="33" width="15.81640625" style="2" bestFit="1" customWidth="1"/>
    <col min="34" max="34" width="20.453125" style="2" bestFit="1" customWidth="1"/>
    <col min="35" max="35" width="16.26953125" style="2" bestFit="1" customWidth="1"/>
    <col min="36" max="36" width="16" style="2" bestFit="1" customWidth="1"/>
    <col min="37" max="37" width="26" style="2" bestFit="1" customWidth="1"/>
    <col min="38" max="38" width="25.26953125" style="2" bestFit="1" customWidth="1"/>
    <col min="39" max="39" width="30" style="2" bestFit="1" customWidth="1"/>
    <col min="40" max="40" width="12.54296875" style="2"/>
    <col min="41" max="41" width="23.1796875" style="2" bestFit="1" customWidth="1"/>
    <col min="42" max="42" width="19.1796875" style="2" bestFit="1" customWidth="1"/>
    <col min="43" max="43" width="30" style="2" bestFit="1" customWidth="1"/>
    <col min="44" max="44" width="18.81640625" style="2" bestFit="1" customWidth="1"/>
    <col min="45" max="46" width="18.81640625" style="2" customWidth="1"/>
    <col min="47" max="16384" width="12.54296875" style="2"/>
  </cols>
  <sheetData>
    <row r="1" spans="1:61" s="18" customFormat="1" ht="32.1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74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7" t="s">
        <v>12</v>
      </c>
      <c r="O1" s="12" t="s">
        <v>76</v>
      </c>
      <c r="P1" s="11" t="s">
        <v>13</v>
      </c>
      <c r="Q1" s="13" t="s">
        <v>105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106</v>
      </c>
      <c r="W1" s="13" t="s">
        <v>111</v>
      </c>
      <c r="X1" s="13" t="s">
        <v>112</v>
      </c>
      <c r="Y1" s="14" t="s">
        <v>14</v>
      </c>
      <c r="Z1" s="14" t="s">
        <v>104</v>
      </c>
      <c r="AA1" s="15" t="s">
        <v>22</v>
      </c>
      <c r="AB1" s="15" t="s">
        <v>70</v>
      </c>
      <c r="AC1" s="15" t="s">
        <v>71</v>
      </c>
      <c r="AD1" s="15" t="s">
        <v>92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79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72</v>
      </c>
      <c r="AS1" s="24" t="s">
        <v>44</v>
      </c>
      <c r="AT1" s="24" t="s">
        <v>73</v>
      </c>
      <c r="AU1" s="25" t="s">
        <v>47</v>
      </c>
      <c r="AV1" s="25" t="s">
        <v>48</v>
      </c>
      <c r="AW1" s="25" t="s">
        <v>49</v>
      </c>
      <c r="AX1" s="25" t="s">
        <v>50</v>
      </c>
      <c r="AY1" s="25" t="s">
        <v>51</v>
      </c>
      <c r="AZ1" s="25" t="s">
        <v>82</v>
      </c>
      <c r="BA1" s="25" t="s">
        <v>53</v>
      </c>
      <c r="BB1" s="25" t="s">
        <v>54</v>
      </c>
      <c r="BC1" s="25" t="s">
        <v>55</v>
      </c>
      <c r="BD1" s="16" t="s">
        <v>43</v>
      </c>
      <c r="BE1" s="25" t="s">
        <v>56</v>
      </c>
      <c r="BF1" s="25" t="s">
        <v>87</v>
      </c>
      <c r="BG1" s="25" t="s">
        <v>58</v>
      </c>
      <c r="BH1" s="25" t="s">
        <v>59</v>
      </c>
      <c r="BI1" s="22"/>
    </row>
    <row r="2" spans="1:61" customFormat="1" ht="15.75" customHeight="1" x14ac:dyDescent="0.25">
      <c r="A2" s="19">
        <v>1</v>
      </c>
      <c r="B2" s="26" t="s">
        <v>89</v>
      </c>
      <c r="C2" s="27" t="s">
        <v>93</v>
      </c>
      <c r="D2" s="26" t="s">
        <v>94</v>
      </c>
      <c r="E2" s="26" t="s">
        <v>90</v>
      </c>
      <c r="F2" s="26" t="s">
        <v>95</v>
      </c>
      <c r="G2" s="27" t="s">
        <v>103</v>
      </c>
      <c r="H2" s="27" t="s">
        <v>75</v>
      </c>
      <c r="I2" s="28">
        <v>46104</v>
      </c>
      <c r="J2" s="29">
        <v>46104</v>
      </c>
      <c r="K2" s="29">
        <v>46105</v>
      </c>
      <c r="L2" s="26">
        <f t="shared" ref="L2:L3" si="0">K2-J2</f>
        <v>1</v>
      </c>
      <c r="M2" s="26" t="s">
        <v>101</v>
      </c>
      <c r="N2" s="23" t="s">
        <v>102</v>
      </c>
      <c r="O2" s="19">
        <v>500000</v>
      </c>
      <c r="P2" s="27" t="s">
        <v>77</v>
      </c>
      <c r="Q2" s="26">
        <v>3</v>
      </c>
      <c r="R2" s="26">
        <v>0</v>
      </c>
      <c r="S2" s="26">
        <v>0</v>
      </c>
      <c r="T2" s="26">
        <v>0</v>
      </c>
      <c r="U2" s="26">
        <v>2</v>
      </c>
      <c r="V2" s="26">
        <v>2</v>
      </c>
      <c r="W2" s="26">
        <v>0</v>
      </c>
      <c r="X2" s="26">
        <v>0</v>
      </c>
      <c r="Y2" s="26">
        <f t="shared" ref="Y2:Y3" si="1">SUM(Q2:X2)</f>
        <v>7</v>
      </c>
      <c r="Z2" s="26">
        <f>(Q2*110)+(R2*450)+(S2*110)+(T2*300)+(U2*120)+(V2*110)+(W2*350)+(X2*150)</f>
        <v>790</v>
      </c>
      <c r="AA2" s="2" t="s">
        <v>77</v>
      </c>
      <c r="AB2" s="2" t="s">
        <v>77</v>
      </c>
      <c r="AC2" s="2" t="s">
        <v>77</v>
      </c>
      <c r="AD2" s="2" t="s">
        <v>77</v>
      </c>
      <c r="AE2" s="2" t="s">
        <v>77</v>
      </c>
      <c r="AF2" s="30" t="s">
        <v>77</v>
      </c>
      <c r="AG2" s="2" t="s">
        <v>77</v>
      </c>
      <c r="AH2" s="2" t="s">
        <v>77</v>
      </c>
      <c r="AI2" s="2" t="s">
        <v>78</v>
      </c>
      <c r="AJ2" s="2" t="s">
        <v>77</v>
      </c>
      <c r="AK2" s="30" t="s">
        <v>77</v>
      </c>
      <c r="AL2" s="2" t="s">
        <v>77</v>
      </c>
      <c r="AM2" s="2" t="s">
        <v>77</v>
      </c>
      <c r="AN2" s="2" t="s">
        <v>77</v>
      </c>
      <c r="AO2" s="30" t="s">
        <v>77</v>
      </c>
      <c r="AP2" s="2" t="s">
        <v>77</v>
      </c>
      <c r="AQ2" s="30" t="s">
        <v>77</v>
      </c>
      <c r="AR2" s="30" t="s">
        <v>77</v>
      </c>
      <c r="AS2" s="30" t="s">
        <v>77</v>
      </c>
      <c r="AT2" s="31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30" t="s">
        <v>77</v>
      </c>
      <c r="AZ2" s="30" t="s">
        <v>77</v>
      </c>
      <c r="BA2" s="30" t="s">
        <v>77</v>
      </c>
      <c r="BB2" s="2" t="s">
        <v>77</v>
      </c>
      <c r="BC2" s="30" t="s">
        <v>77</v>
      </c>
      <c r="BD2" s="30" t="s">
        <v>77</v>
      </c>
      <c r="BE2" s="30" t="s">
        <v>77</v>
      </c>
      <c r="BF2" s="2" t="s">
        <v>77</v>
      </c>
      <c r="BG2" s="30" t="s">
        <v>77</v>
      </c>
      <c r="BH2" s="30" t="s">
        <v>77</v>
      </c>
    </row>
    <row r="3" spans="1:61" customFormat="1" ht="15.75" customHeight="1" x14ac:dyDescent="0.25">
      <c r="A3" s="19">
        <v>2</v>
      </c>
      <c r="B3" s="26" t="s">
        <v>89</v>
      </c>
      <c r="C3" s="27" t="s">
        <v>96</v>
      </c>
      <c r="D3" s="26" t="s">
        <v>97</v>
      </c>
      <c r="E3" s="26" t="s">
        <v>90</v>
      </c>
      <c r="F3" s="26" t="s">
        <v>99</v>
      </c>
      <c r="G3" s="27" t="s">
        <v>98</v>
      </c>
      <c r="H3" s="27" t="s">
        <v>75</v>
      </c>
      <c r="I3" s="28">
        <v>46104</v>
      </c>
      <c r="J3" s="29">
        <v>46104</v>
      </c>
      <c r="K3" s="29">
        <v>46104</v>
      </c>
      <c r="L3" s="26">
        <f t="shared" si="0"/>
        <v>0</v>
      </c>
      <c r="M3" s="26" t="s">
        <v>101</v>
      </c>
      <c r="N3" s="23" t="s">
        <v>100</v>
      </c>
      <c r="O3" s="26" t="s">
        <v>77</v>
      </c>
      <c r="P3" s="27" t="s">
        <v>77</v>
      </c>
      <c r="Q3" s="26">
        <v>0</v>
      </c>
      <c r="R3" s="26">
        <v>0</v>
      </c>
      <c r="S3" s="26">
        <v>1</v>
      </c>
      <c r="T3" s="26">
        <v>0</v>
      </c>
      <c r="U3" s="26">
        <v>1</v>
      </c>
      <c r="V3" s="26">
        <v>0</v>
      </c>
      <c r="W3" s="26">
        <v>0</v>
      </c>
      <c r="X3" s="26">
        <v>0</v>
      </c>
      <c r="Y3" s="26">
        <f t="shared" si="1"/>
        <v>2</v>
      </c>
      <c r="Z3" s="26">
        <f t="shared" ref="Z3" si="2">(Q3*110)+(R3*450)+(S3*110)+(T3*300)+(U3*120)+(V3*110)+(W3*350)+(X3*150)</f>
        <v>230</v>
      </c>
      <c r="AA3" s="2" t="s">
        <v>77</v>
      </c>
      <c r="AB3" s="2" t="s">
        <v>77</v>
      </c>
      <c r="AC3" s="2" t="s">
        <v>77</v>
      </c>
      <c r="AD3" s="2" t="s">
        <v>77</v>
      </c>
      <c r="AE3" s="2" t="s">
        <v>77</v>
      </c>
      <c r="AF3" s="30" t="s">
        <v>77</v>
      </c>
      <c r="AG3" s="2" t="s">
        <v>77</v>
      </c>
      <c r="AH3" s="2" t="s">
        <v>77</v>
      </c>
      <c r="AI3" s="2" t="s">
        <v>78</v>
      </c>
      <c r="AJ3" s="2" t="s">
        <v>77</v>
      </c>
      <c r="AK3" s="30" t="s">
        <v>77</v>
      </c>
      <c r="AL3" s="2" t="s">
        <v>77</v>
      </c>
      <c r="AM3" s="2" t="s">
        <v>77</v>
      </c>
      <c r="AN3" s="2" t="s">
        <v>77</v>
      </c>
      <c r="AO3" s="30" t="s">
        <v>77</v>
      </c>
      <c r="AP3" s="2" t="s">
        <v>77</v>
      </c>
      <c r="AQ3" s="30" t="s">
        <v>77</v>
      </c>
      <c r="AR3" s="30" t="s">
        <v>77</v>
      </c>
      <c r="AS3" s="30" t="s">
        <v>77</v>
      </c>
      <c r="AT3" s="31" t="s">
        <v>77</v>
      </c>
      <c r="AU3" s="2" t="s">
        <v>77</v>
      </c>
      <c r="AV3" s="2" t="s">
        <v>77</v>
      </c>
      <c r="AW3" s="2" t="s">
        <v>77</v>
      </c>
      <c r="AX3" s="2" t="s">
        <v>77</v>
      </c>
      <c r="AY3" s="30" t="s">
        <v>77</v>
      </c>
      <c r="AZ3" s="30" t="s">
        <v>77</v>
      </c>
      <c r="BA3" s="30" t="s">
        <v>77</v>
      </c>
      <c r="BB3" s="2" t="s">
        <v>77</v>
      </c>
      <c r="BC3" s="30" t="s">
        <v>77</v>
      </c>
      <c r="BD3" s="30" t="s">
        <v>77</v>
      </c>
      <c r="BE3" s="30" t="s">
        <v>77</v>
      </c>
      <c r="BF3" s="2" t="s">
        <v>77</v>
      </c>
      <c r="BG3" s="30" t="s">
        <v>77</v>
      </c>
      <c r="BH3" s="30" t="s">
        <v>77</v>
      </c>
    </row>
  </sheetData>
  <conditionalFormatting sqref="C1:C1048576">
    <cfRule type="duplicateValues" dxfId="0" priority="4"/>
  </conditionalFormatting>
  <dataValidations count="17">
    <dataValidation type="list" allowBlank="1" showInputMessage="1" showErrorMessage="1" sqref="BH2:BH3 BG1:BG1048576" xr:uid="{DED8E3ED-B0B8-4E17-956D-699A4F8D2D4C}">
      <formula1>"Police case,FIR, Collections agency frequently visiting the same office address,NA"</formula1>
    </dataValidation>
    <dataValidation type="list" allowBlank="1" showInputMessage="1" showErrorMessage="1" sqref="F1:F1048576" xr:uid="{C2BEA686-F59F-4608-8410-FF73699B8E7A}">
      <formula1>"Consumer Durable Loan,Personal Loan,Business Loan,Housing Loan,LAP,Car Loan,Two-Wheeler Loan"</formula1>
    </dataValidation>
    <dataValidation type="list" allowBlank="1" showInputMessage="1" showErrorMessage="1" sqref="M1:M1048576" xr:uid="{0E7FEB6F-BD6E-428A-B553-D38CB781A163}">
      <formula1>"Positive,Negative,Refer to Credit,Decline"</formula1>
    </dataValidation>
    <dataValidation type="list" allowBlank="1" showInputMessage="1" showErrorMessage="1" sqref="AE1:AE1048576" xr:uid="{2B5CCB05-7FC9-4F01-8A45-74F53603E49A}">
      <formula1>"Independent House,Flat,Slum,Hut,Chawl,Small unit within house, Part of independent House, NA"</formula1>
    </dataValidation>
    <dataValidation type="list" allowBlank="1" showInputMessage="1" showErrorMessage="1" sqref="AG1:AG1048576" xr:uid="{89ADC1C8-64C8-47FB-9418-A56283C3BF8C}">
      <formula1>"Posh,Upper Middle Class,Middle Class,Lower Middle Class,Under-developed,Slum,Commercial Area,Housing Complex,Any others,NA"</formula1>
    </dataValidation>
    <dataValidation type="list" allowBlank="1" showInputMessage="1" showErrorMessage="1" sqref="AH1:AH1048576 AV1:AV1048576" xr:uid="{3EB9D732-D4E5-4A0B-9610-CD34779E1340}">
      <formula1>"Pukka,Semi-Pukka,Temporary,Tin-shed accommodation,Brick-walled,Plastered, NA"</formula1>
    </dataValidation>
    <dataValidation type="list" allowBlank="1" showInputMessage="1" showErrorMessage="1" sqref="AI1:AI1048576" xr:uid="{F7156124-B54F-433D-942F-B5E71D69D0AE}">
      <formula1>"Good,Average,Poor, Lift present-Y,Lift present-N,Watchman Present-Y,Watchman Present-N, NA "</formula1>
    </dataValidation>
    <dataValidation type="list" allowBlank="1" showInputMessage="1" showErrorMessage="1" sqref="AJ1:AJ1048576 AX1:AX1048576" xr:uid="{C7C8B48E-4E27-48BD-A2CB-DAD1C86DE5B0}">
      <formula1>"Lavish,Good,Average,Poor,NA"</formula1>
    </dataValidation>
    <dataValidation type="list" allowBlank="1" showInputMessage="1" showErrorMessage="1" sqref="AL1:AL1048576" xr:uid="{6C154A7A-61C0-4CC1-9428-0C57B3C28627}">
      <formula1>"TW, Car, TW and Car, No vehicle sighted, NA"</formula1>
    </dataValidation>
    <dataValidation type="list" allowBlank="1" showInputMessage="1" showErrorMessage="1" sqref="AM1:AM1048576" xr:uid="{D646FD5E-BE32-4AF1-AC23-A211BF9FC10B}">
      <formula1>"HIG,MIG,LIG,NA"</formula1>
    </dataValidation>
    <dataValidation type="list" allowBlank="1" showInputMessage="1" showErrorMessage="1" sqref="AN1:AN1048576" xr:uid="{D667BE9E-CFC3-466C-858B-E79422D8EA61}">
      <formula1>"Local, OGL, NA"</formula1>
    </dataValidation>
    <dataValidation type="list" allowBlank="1" showInputMessage="1" showErrorMessage="1" sqref="AP1:AP1048576" xr:uid="{313B1945-B2CF-4ADD-A686-1189220EC60F}">
      <formula1>"Owned,Spouse,Parental,Rented,PG,Hostel,Others,NA"</formula1>
    </dataValidation>
    <dataValidation type="list" allowBlank="1" showInputMessage="1" showErrorMessage="1" sqref="AS1:AS1048576" xr:uid="{2B28C8F3-070E-47E3-973A-3B14F168080B}">
      <formula1>"Police case, FIR,Collections agency frequently visiting the same residence address,NA"</formula1>
    </dataValidation>
    <dataValidation type="list" allowBlank="1" showInputMessage="1" showErrorMessage="1" sqref="AU1:AU1048576" xr:uid="{1A08FF30-6FA9-4CD2-8572-F243337E4CA0}">
      <formula1>"Posh,Upper Class,Middle Class,Lower Middle Class,Slum,Small shops,Resi-cum-office setup, NA"</formula1>
    </dataValidation>
    <dataValidation type="list" allowBlank="1" showInputMessage="1" showErrorMessage="1" sqref="AW1:AW1048576" xr:uid="{10F0A875-DD5B-41DF-ACE5-F23D8ED7EF1F}">
      <formula1>"Good,Average,Poor,Lift present-Y,Lift present-N, Watchman Present-Y, Watchman Present-N, NA"</formula1>
    </dataValidation>
    <dataValidation type="list" allowBlank="1" showInputMessage="1" showErrorMessage="1" sqref="BB1:BB1048576" xr:uid="{F378F230-0EF8-453B-9284-E5167DCFF7CB}">
      <formula1>"Owned,Rented,Spouse,Parental,Others, NA"</formula1>
    </dataValidation>
    <dataValidation type="list" allowBlank="1" showInputMessage="1" showErrorMessage="1" sqref="BF1:BF1048576" xr:uid="{CF9B082E-C9A4-4091-9373-1243F06F18FA}">
      <formula1>"Local, OGL,NA"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A9AD-50E3-42AE-B09F-39E7620426CE}">
  <sheetPr>
    <pageSetUpPr fitToPage="1"/>
  </sheetPr>
  <dimension ref="A1:E67"/>
  <sheetViews>
    <sheetView zoomScale="70" zoomScaleNormal="70" workbookViewId="0">
      <selection activeCell="B23" sqref="B23"/>
    </sheetView>
  </sheetViews>
  <sheetFormatPr defaultRowHeight="12.5" x14ac:dyDescent="0.25"/>
  <cols>
    <col min="1" max="1" width="29.453125" customWidth="1"/>
    <col min="2" max="2" width="60" customWidth="1"/>
  </cols>
  <sheetData>
    <row r="1" spans="1:5" ht="19.5" x14ac:dyDescent="0.25">
      <c r="A1" s="33" t="s">
        <v>15</v>
      </c>
      <c r="B1" s="33"/>
      <c r="E1" s="5" t="s">
        <v>88</v>
      </c>
    </row>
    <row r="2" spans="1:5" ht="14.5" x14ac:dyDescent="0.25">
      <c r="A2" s="4" t="s">
        <v>16</v>
      </c>
      <c r="B2" s="3" t="e">
        <f>VLOOKUP(E2,'MIS Tracker'!A:CJ,3,0)</f>
        <v>#N/A</v>
      </c>
      <c r="E2" s="2">
        <v>87</v>
      </c>
    </row>
    <row r="3" spans="1:5" ht="14.5" x14ac:dyDescent="0.25">
      <c r="A3" s="4" t="s">
        <v>3</v>
      </c>
      <c r="B3" s="3" t="e">
        <f>VLOOKUP(E2,'MIS Tracker'!A:CJ,4,0)</f>
        <v>#N/A</v>
      </c>
    </row>
    <row r="4" spans="1:5" ht="14.5" x14ac:dyDescent="0.25">
      <c r="A4" s="4" t="s">
        <v>17</v>
      </c>
      <c r="B4" s="3" t="e">
        <f>VLOOKUP(E2,'MIS Tracker'!A:CJ,27,0)</f>
        <v>#N/A</v>
      </c>
    </row>
    <row r="5" spans="1:5" ht="14.5" x14ac:dyDescent="0.25">
      <c r="A5" s="4" t="s">
        <v>18</v>
      </c>
      <c r="B5" s="3" t="e">
        <f>VLOOKUP(E2,'MIS Tracker'!A:CJ,28,0)</f>
        <v>#N/A</v>
      </c>
    </row>
    <row r="6" spans="1:5" ht="14.5" x14ac:dyDescent="0.25">
      <c r="A6" s="4" t="s">
        <v>19</v>
      </c>
      <c r="B6" s="3" t="e">
        <f>VLOOKUP(E2,'MIS Tracker'!A:CJ,29,0)</f>
        <v>#N/A</v>
      </c>
    </row>
    <row r="7" spans="1:5" ht="14.5" x14ac:dyDescent="0.25">
      <c r="A7" s="4" t="s">
        <v>20</v>
      </c>
      <c r="B7" s="3" t="s">
        <v>90</v>
      </c>
    </row>
    <row r="8" spans="1:5" ht="14.5" x14ac:dyDescent="0.25">
      <c r="A8" s="4" t="s">
        <v>5</v>
      </c>
      <c r="B8" s="3" t="e">
        <f>VLOOKUP(E2,'MIS Tracker'!A:CJ,6,0)</f>
        <v>#N/A</v>
      </c>
    </row>
    <row r="9" spans="1:5" ht="14.5" x14ac:dyDescent="0.25">
      <c r="A9" s="4" t="s">
        <v>21</v>
      </c>
      <c r="B9" s="6" t="e">
        <f>VLOOKUP(E2,'MIS Tracker'!A:CJ,15,0)</f>
        <v>#N/A</v>
      </c>
    </row>
    <row r="10" spans="1:5" ht="14.5" x14ac:dyDescent="0.25">
      <c r="A10" s="4" t="s">
        <v>22</v>
      </c>
      <c r="B10" s="3" t="e">
        <f>VLOOKUP(E2,'MIS Tracker'!A:CJ,26,0)</f>
        <v>#N/A</v>
      </c>
    </row>
    <row r="11" spans="1:5" ht="19.5" x14ac:dyDescent="0.25">
      <c r="A11" s="33" t="s">
        <v>23</v>
      </c>
      <c r="B11" s="33"/>
    </row>
    <row r="12" spans="1:5" ht="14.5" x14ac:dyDescent="0.25">
      <c r="A12" s="4" t="s">
        <v>24</v>
      </c>
      <c r="B12" s="3" t="s">
        <v>77</v>
      </c>
    </row>
    <row r="13" spans="1:5" ht="14.5" x14ac:dyDescent="0.25">
      <c r="A13" s="4" t="s">
        <v>25</v>
      </c>
      <c r="B13" s="3" t="s">
        <v>77</v>
      </c>
    </row>
    <row r="14" spans="1:5" ht="14.5" x14ac:dyDescent="0.25">
      <c r="A14" s="4" t="s">
        <v>26</v>
      </c>
      <c r="B14" s="3" t="s">
        <v>77</v>
      </c>
    </row>
    <row r="15" spans="1:5" ht="14.5" x14ac:dyDescent="0.25">
      <c r="A15" s="4" t="s">
        <v>27</v>
      </c>
      <c r="B15" s="3" t="e">
        <f>VLOOKUP(E2,'MIS Tracker'!A:CJ,7,0)</f>
        <v>#N/A</v>
      </c>
    </row>
    <row r="16" spans="1:5" ht="19.5" x14ac:dyDescent="0.25">
      <c r="A16" s="33" t="s">
        <v>28</v>
      </c>
      <c r="B16" s="33"/>
    </row>
    <row r="17" spans="1:2" ht="29" x14ac:dyDescent="0.25">
      <c r="A17" s="7" t="s">
        <v>29</v>
      </c>
      <c r="B17" s="8" t="e">
        <f>VLOOKUP(E2,'MIS Tracker'!A:CJ,45,0)</f>
        <v>#N/A</v>
      </c>
    </row>
    <row r="18" spans="1:2" ht="14.5" x14ac:dyDescent="0.25">
      <c r="A18" s="32" t="s">
        <v>30</v>
      </c>
      <c r="B18" s="3" t="e">
        <f>VLOOKUP(E2,'MIS Tracker'!A:CJ,30,0)</f>
        <v>#N/A</v>
      </c>
    </row>
    <row r="19" spans="1:2" ht="14.5" x14ac:dyDescent="0.25">
      <c r="A19" s="32"/>
      <c r="B19" s="3" t="e">
        <f>VLOOKUP(E2,'MIS Tracker'!A:CJ,31,0)</f>
        <v>#N/A</v>
      </c>
    </row>
    <row r="20" spans="1:2" ht="14.5" x14ac:dyDescent="0.25">
      <c r="A20" s="4" t="s">
        <v>32</v>
      </c>
      <c r="B20" s="3" t="e">
        <f>VLOOKUP(E2,'MIS Tracker'!A:CJ,32,0)</f>
        <v>#N/A</v>
      </c>
    </row>
    <row r="21" spans="1:2" ht="14.5" x14ac:dyDescent="0.25">
      <c r="A21" s="4" t="s">
        <v>33</v>
      </c>
      <c r="B21" s="3" t="e">
        <f>VLOOKUP(E2,'MIS Tracker'!A:CJ,33,0)</f>
        <v>#N/A</v>
      </c>
    </row>
    <row r="22" spans="1:2" ht="14.5" x14ac:dyDescent="0.25">
      <c r="A22" s="4" t="s">
        <v>34</v>
      </c>
      <c r="B22" s="3" t="e">
        <f>VLOOKUP(E2,'MIS Tracker'!A:CJ,34,0)</f>
        <v>#N/A</v>
      </c>
    </row>
    <row r="23" spans="1:2" ht="14.5" x14ac:dyDescent="0.25">
      <c r="A23" s="4" t="s">
        <v>35</v>
      </c>
      <c r="B23" s="3" t="e">
        <f>VLOOKUP(E2,'MIS Tracker'!A:CJ,35,0)</f>
        <v>#N/A</v>
      </c>
    </row>
    <row r="24" spans="1:2" ht="14.5" x14ac:dyDescent="0.25">
      <c r="A24" s="4" t="s">
        <v>36</v>
      </c>
      <c r="B24" s="3" t="e">
        <f>VLOOKUP(E2,'MIS Tracker'!A:CJ,36,0)</f>
        <v>#N/A</v>
      </c>
    </row>
    <row r="25" spans="1:2" ht="14.5" x14ac:dyDescent="0.25">
      <c r="A25" s="4" t="s">
        <v>37</v>
      </c>
      <c r="B25" s="3" t="e">
        <f>VLOOKUP(E2,'MIS Tracker'!A:CJ,37,0)</f>
        <v>#N/A</v>
      </c>
    </row>
    <row r="26" spans="1:2" ht="29" x14ac:dyDescent="0.25">
      <c r="A26" s="4" t="s">
        <v>38</v>
      </c>
      <c r="B26" s="3" t="e">
        <f>VLOOKUP(E2,'MIS Tracker'!A:CJ,38,0)</f>
        <v>#N/A</v>
      </c>
    </row>
    <row r="27" spans="1:2" ht="14.5" x14ac:dyDescent="0.25">
      <c r="A27" s="4" t="s">
        <v>39</v>
      </c>
      <c r="B27" s="3" t="e">
        <f>VLOOKUP(E2,'MIS Tracker'!A:CJ,39,0)</f>
        <v>#N/A</v>
      </c>
    </row>
    <row r="28" spans="1:2" ht="14.5" x14ac:dyDescent="0.25">
      <c r="A28" s="4" t="s">
        <v>40</v>
      </c>
      <c r="B28" s="3" t="e">
        <f>VLOOKUP(E2,'MIS Tracker'!A:CJ,40,0)</f>
        <v>#N/A</v>
      </c>
    </row>
    <row r="29" spans="1:2" ht="14.5" x14ac:dyDescent="0.25">
      <c r="A29" s="4" t="s">
        <v>41</v>
      </c>
      <c r="B29" s="3" t="e">
        <f>VLOOKUP(E2,'MIS Tracker'!A:CJ,41,0)</f>
        <v>#N/A</v>
      </c>
    </row>
    <row r="30" spans="1:2" ht="14.5" x14ac:dyDescent="0.25">
      <c r="A30" s="32" t="s">
        <v>42</v>
      </c>
      <c r="B30" s="3" t="s">
        <v>80</v>
      </c>
    </row>
    <row r="31" spans="1:2" ht="14.5" x14ac:dyDescent="0.25">
      <c r="A31" s="32"/>
      <c r="B31" s="3" t="s">
        <v>81</v>
      </c>
    </row>
    <row r="32" spans="1:2" ht="14.5" x14ac:dyDescent="0.25">
      <c r="A32" s="4" t="s">
        <v>43</v>
      </c>
      <c r="B32" s="3" t="e">
        <f>VLOOKUP(E2,'MIS Tracker'!A:CJ,43,0)</f>
        <v>#N/A</v>
      </c>
    </row>
    <row r="33" spans="1:2" ht="43.5" x14ac:dyDescent="0.25">
      <c r="A33" s="4" t="s">
        <v>44</v>
      </c>
      <c r="B33" s="3" t="e">
        <f>VLOOKUP(E2,'MIS Tracker'!A:CJ,44,0)</f>
        <v>#N/A</v>
      </c>
    </row>
    <row r="34" spans="1:2" ht="14.5" x14ac:dyDescent="0.25">
      <c r="A34" s="4" t="s">
        <v>45</v>
      </c>
      <c r="B34" s="3" t="e">
        <f>VLOOKUP(E2,'MIS Tracker'!A:CJ,45,0)</f>
        <v>#N/A</v>
      </c>
    </row>
    <row r="35" spans="1:2" ht="30" customHeight="1" x14ac:dyDescent="0.25">
      <c r="A35" s="7" t="s">
        <v>46</v>
      </c>
      <c r="B35" s="8" t="e">
        <f>VLOOKUP(E2,'MIS Tracker'!A:CJ,59,0)</f>
        <v>#N/A</v>
      </c>
    </row>
    <row r="36" spans="1:2" ht="14.5" x14ac:dyDescent="0.25">
      <c r="A36" s="4" t="s">
        <v>47</v>
      </c>
      <c r="B36" s="3" t="e">
        <f>VLOOKUP(E2,'MIS Tracker'!A:CJ,46,0)</f>
        <v>#N/A</v>
      </c>
    </row>
    <row r="37" spans="1:2" ht="14.5" x14ac:dyDescent="0.25">
      <c r="A37" s="4" t="s">
        <v>48</v>
      </c>
      <c r="B37" s="3" t="e">
        <f>VLOOKUP(E2,'MIS Tracker'!A:CJ,47,0)</f>
        <v>#N/A</v>
      </c>
    </row>
    <row r="38" spans="1:2" ht="14.5" x14ac:dyDescent="0.25">
      <c r="A38" s="4" t="s">
        <v>49</v>
      </c>
      <c r="B38" s="3" t="e">
        <f>VLOOKUP(E2,'MIS Tracker'!A:CJ,48,0)</f>
        <v>#N/A</v>
      </c>
    </row>
    <row r="39" spans="1:2" ht="14.5" x14ac:dyDescent="0.25">
      <c r="A39" s="4" t="s">
        <v>50</v>
      </c>
      <c r="B39" s="3" t="e">
        <f>VLOOKUP(E2,'MIS Tracker'!A:CJ,49,0)</f>
        <v>#N/A</v>
      </c>
    </row>
    <row r="40" spans="1:2" ht="14.5" x14ac:dyDescent="0.25">
      <c r="A40" s="4" t="s">
        <v>51</v>
      </c>
      <c r="B40" s="3" t="e">
        <f>VLOOKUP(E2,'MIS Tracker'!A:CJ,50,0)</f>
        <v>#N/A</v>
      </c>
    </row>
    <row r="41" spans="1:2" ht="14.5" x14ac:dyDescent="0.25">
      <c r="A41" s="4" t="s">
        <v>52</v>
      </c>
      <c r="B41" s="3" t="e">
        <f>VLOOKUP(E2,'MIS Tracker'!A:CJ,51,0)</f>
        <v>#N/A</v>
      </c>
    </row>
    <row r="42" spans="1:2" ht="14.5" x14ac:dyDescent="0.25">
      <c r="A42" s="32" t="s">
        <v>53</v>
      </c>
      <c r="B42" s="3" t="s">
        <v>83</v>
      </c>
    </row>
    <row r="43" spans="1:2" ht="14.5" x14ac:dyDescent="0.25">
      <c r="A43" s="32"/>
      <c r="B43" s="3" t="s">
        <v>84</v>
      </c>
    </row>
    <row r="44" spans="1:2" ht="14.5" x14ac:dyDescent="0.25">
      <c r="A44" s="4" t="s">
        <v>54</v>
      </c>
      <c r="B44" s="3" t="e">
        <f>VLOOKUP(E2,'MIS Tracker'!A:CJ,53,0)</f>
        <v>#N/A</v>
      </c>
    </row>
    <row r="45" spans="1:2" ht="14.5" x14ac:dyDescent="0.25">
      <c r="A45" s="32" t="s">
        <v>55</v>
      </c>
      <c r="B45" s="3" t="s">
        <v>85</v>
      </c>
    </row>
    <row r="46" spans="1:2" ht="14.5" x14ac:dyDescent="0.25">
      <c r="A46" s="32"/>
      <c r="B46" s="3" t="s">
        <v>86</v>
      </c>
    </row>
    <row r="47" spans="1:2" ht="14.5" x14ac:dyDescent="0.25">
      <c r="A47" s="4" t="s">
        <v>43</v>
      </c>
      <c r="B47" s="3" t="s">
        <v>77</v>
      </c>
    </row>
    <row r="48" spans="1:2" ht="14.5" customHeight="1" x14ac:dyDescent="0.25">
      <c r="A48" s="32" t="s">
        <v>56</v>
      </c>
      <c r="B48" s="34" t="e">
        <f>VLOOKUP(E2,'MIS Tracker'!A:CJ,56,0)</f>
        <v>#N/A</v>
      </c>
    </row>
    <row r="49" spans="1:2" x14ac:dyDescent="0.25">
      <c r="A49" s="32"/>
      <c r="B49" s="34"/>
    </row>
    <row r="50" spans="1:2" ht="14.5" x14ac:dyDescent="0.25">
      <c r="A50" s="4" t="s">
        <v>57</v>
      </c>
      <c r="B50" s="3" t="e">
        <f>VLOOKUP(E2,'MIS Tracker'!A:CJ,57,0)</f>
        <v>#N/A</v>
      </c>
    </row>
    <row r="51" spans="1:2" ht="58" x14ac:dyDescent="0.25">
      <c r="A51" s="4" t="s">
        <v>58</v>
      </c>
      <c r="B51" s="3" t="e">
        <f>VLOOKUP(E2,'MIS Tracker'!A:CJ,58,0)</f>
        <v>#N/A</v>
      </c>
    </row>
    <row r="52" spans="1:2" ht="41.25" customHeight="1" x14ac:dyDescent="0.25">
      <c r="A52" s="4" t="s">
        <v>59</v>
      </c>
      <c r="B52" s="8" t="e">
        <f>VLOOKUP(E2,'MIS Tracker'!A:CJ,59,0)</f>
        <v>#N/A</v>
      </c>
    </row>
    <row r="53" spans="1:2" hidden="1" x14ac:dyDescent="0.25">
      <c r="A53" s="38" t="s">
        <v>60</v>
      </c>
      <c r="B53" s="35" t="e">
        <f>VLOOKUP(E2,'MIS Tracker'!A:CJ,14,0)</f>
        <v>#N/A</v>
      </c>
    </row>
    <row r="54" spans="1:2" ht="105" customHeight="1" x14ac:dyDescent="0.25">
      <c r="A54" s="39"/>
      <c r="B54" s="36"/>
    </row>
    <row r="55" spans="1:2" ht="76.5" customHeight="1" x14ac:dyDescent="0.25">
      <c r="A55" s="40"/>
      <c r="B55" s="37"/>
    </row>
    <row r="56" spans="1:2" ht="14.5" x14ac:dyDescent="0.25">
      <c r="A56" s="4" t="s">
        <v>61</v>
      </c>
      <c r="B56" s="3" t="s">
        <v>77</v>
      </c>
    </row>
    <row r="57" spans="1:2" ht="29.5" customHeight="1" x14ac:dyDescent="0.25">
      <c r="A57" s="4" t="s">
        <v>62</v>
      </c>
      <c r="B57" s="10" t="e">
        <f>VLOOKUP(E2,'MIS Tracker'!A:CJ,13,0)</f>
        <v>#N/A</v>
      </c>
    </row>
    <row r="58" spans="1:2" ht="14.5" x14ac:dyDescent="0.25">
      <c r="A58" s="4" t="s">
        <v>63</v>
      </c>
      <c r="B58" s="9" t="e">
        <f>VLOOKUP(E2,'MIS Tracker'!A:CJ,10,0)</f>
        <v>#N/A</v>
      </c>
    </row>
    <row r="59" spans="1:2" ht="14.5" x14ac:dyDescent="0.25">
      <c r="A59" s="4" t="s">
        <v>64</v>
      </c>
      <c r="B59" s="9" t="e">
        <f>VLOOKUP(E2,'MIS Tracker'!A:CJ,11,0)</f>
        <v>#N/A</v>
      </c>
    </row>
    <row r="60" spans="1:2" ht="14.5" x14ac:dyDescent="0.25">
      <c r="A60" s="4" t="s">
        <v>10</v>
      </c>
      <c r="B60" s="6" t="e">
        <f>VLOOKUP(E2,'MIS Tracker'!A:CJ,12,0)</f>
        <v>#N/A</v>
      </c>
    </row>
    <row r="61" spans="1:2" ht="19.5" x14ac:dyDescent="0.25">
      <c r="A61" s="33" t="s">
        <v>65</v>
      </c>
      <c r="B61" s="33"/>
    </row>
    <row r="62" spans="1:2" ht="14.5" x14ac:dyDescent="0.25">
      <c r="A62" s="4" t="s">
        <v>66</v>
      </c>
      <c r="B62" s="3" t="s">
        <v>91</v>
      </c>
    </row>
    <row r="63" spans="1:2" ht="79" customHeight="1" x14ac:dyDescent="0.25">
      <c r="A63" s="4" t="s">
        <v>67</v>
      </c>
      <c r="B63" s="3"/>
    </row>
    <row r="64" spans="1:2" ht="19.5" x14ac:dyDescent="0.25">
      <c r="A64" s="33" t="s">
        <v>68</v>
      </c>
      <c r="B64" s="33"/>
    </row>
    <row r="65" spans="1:2" ht="23.25" customHeight="1" x14ac:dyDescent="0.25">
      <c r="A65" s="4" t="s">
        <v>69</v>
      </c>
      <c r="B65" s="3"/>
    </row>
    <row r="66" spans="1:2" ht="292.5" customHeight="1" x14ac:dyDescent="0.25">
      <c r="A66" s="4" t="s">
        <v>25</v>
      </c>
      <c r="B66" s="3"/>
    </row>
    <row r="67" spans="1:2" ht="14.5" x14ac:dyDescent="0.25">
      <c r="A67" s="1"/>
    </row>
  </sheetData>
  <mergeCells count="13">
    <mergeCell ref="A1:B1"/>
    <mergeCell ref="A11:B11"/>
    <mergeCell ref="A16:B16"/>
    <mergeCell ref="A18:A19"/>
    <mergeCell ref="A30:A31"/>
    <mergeCell ref="A42:A43"/>
    <mergeCell ref="A45:A46"/>
    <mergeCell ref="A48:A49"/>
    <mergeCell ref="A61:B61"/>
    <mergeCell ref="A64:B64"/>
    <mergeCell ref="B48:B49"/>
    <mergeCell ref="B53:B55"/>
    <mergeCell ref="A53:A55"/>
  </mergeCells>
  <pageMargins left="0.70866141732283472" right="0.70866141732283472" top="0.74803149606299213" bottom="0.74803149606299213" header="0.31496062992125984" footer="0.31496062992125984"/>
  <pageSetup scale="78" fitToHeight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 Tracker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Verma</cp:lastModifiedBy>
  <cp:lastPrinted>2026-03-31T14:59:23Z</cp:lastPrinted>
  <dcterms:created xsi:type="dcterms:W3CDTF">2026-04-01T10:32:50Z</dcterms:created>
  <dcterms:modified xsi:type="dcterms:W3CDTF">2026-04-01T10:33:26Z</dcterms:modified>
</cp:coreProperties>
</file>